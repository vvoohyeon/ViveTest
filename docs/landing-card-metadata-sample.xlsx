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3e6e3db1d14c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nding Card Metadata" sheetId="1" r:id="R5cb978e5ec1d49de"/>
    <x:sheet xmlns:r="http://schemas.openxmlformats.org/officeDocument/2006/relationships" name="Schema Notes" sheetId="2" r:id="R720a4249ee7b4989"/>
    <x:sheet xmlns:r="http://schemas.openxmlformats.org/officeDocument/2006/relationships" name="Enums" sheetId="3" r:id="R24df65aab4e74b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5B9BD5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ill>
        <x:patternFill patternType="solid">
          <x:bgColor rgb="FFF2CC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ont>
        <x:color rgb="9C0006"/>
      </x:font>
      <x:fill>
        <x:patternFill patternType="solid">
          <x:bgColor rgb="FDE9E7"/>
        </x:patternFill>
      </x:fill>
    </x:dxf>
    <x:dxf>
      <x:font>
        <x:color rgb="006100"/>
      </x:font>
      <x:fill>
        <x:patternFill patternType="solid">
          <x:bgColor rgb="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8225093aa94be9" /><Relationship Type="http://schemas.openxmlformats.org/officeDocument/2006/relationships/theme" Target="/xl/theme/theme1.xml" Id="Rded38a39a2a54f8e" /><Relationship Type="http://schemas.openxmlformats.org/officeDocument/2006/relationships/sharedStrings" Target="/xl/sharedStrings.xml" Id="R71bf890147f24bf5" /><Relationship Type="http://schemas.openxmlformats.org/officeDocument/2006/relationships/worksheet" Target="/xl/worksheets/sheet1.xml" Id="R5cb978e5ec1d49de" /><Relationship Type="http://schemas.openxmlformats.org/officeDocument/2006/relationships/worksheet" Target="/xl/worksheets/sheet2.xml" Id="R720a4249ee7b4989" /><Relationship Type="http://schemas.openxmlformats.org/officeDocument/2006/relationships/worksheet" Target="/xl/worksheets/sheet3.xml" Id="R24df65aab4e74b9c" /></Relationships>
</file>

<file path=xl/tables/table1.xml><?xml version="1.0" encoding="utf-8"?>
<x:table xmlns:x="http://schemas.openxmlformats.org/spreadsheetml/2006/main" id="1" name="LandingCardMetadataTable" displayName="LandingCardMetadataTable" ref="A1:AI11" headerRowCount="1">
  <x:tableColumns count="35">
    <x:tableColumn id="1" name="recordId"/>
    <x:tableColumn id="2" name="contentType"/>
    <x:tableColumn id="3" name="variantId"/>
    <x:tableColumn id="4" name="articleId"/>
    <x:tableColumn id="5" name="cardType"/>
    <x:tableColumn id="6" name="legacyUnavailable"/>
    <x:tableColumn id="7" name="isHero"/>
    <x:tableColumn id="8" name="isSample"/>
    <x:tableColumn id="9" name="thumbnailOrIcon"/>
    <x:tableColumn id="10" name="title_en"/>
    <x:tableColumn id="11" name="title_kr"/>
    <x:tableColumn id="12" name="subtitle_en"/>
    <x:tableColumn id="13" name="subtitle_kr"/>
    <x:tableColumn id="14" name="tags_en"/>
    <x:tableColumn id="15" name="tags_kr"/>
    <x:tableColumn id="16" name="instruction_en"/>
    <x:tableColumn id="17" name="instruction_kr"/>
    <x:tableColumn id="18" name="previewQuestion_en"/>
    <x:tableColumn id="19" name="previewQuestion_kr"/>
    <x:tableColumn id="20" name="answerChoiceA_en"/>
    <x:tableColumn id="21" name="answerChoiceA_kr"/>
    <x:tableColumn id="22" name="answerChoiceB_en"/>
    <x:tableColumn id="23" name="answerChoiceB_kr"/>
    <x:tableColumn id="24" name="estimatedMinutes"/>
    <x:tableColumn id="25" name="testShares"/>
    <x:tableColumn id="26" name="testAttempts"/>
    <x:tableColumn id="27" name="blogSummary_en"/>
    <x:tableColumn id="28" name="blogSummary_kr"/>
    <x:tableColumn id="29" name="blogReadMinutes"/>
    <x:tableColumn id="30" name="blogShares"/>
    <x:tableColumn id="31" name="blogViews"/>
    <x:tableColumn id="32" name="catalogVisible_expected"/>
    <x:tableColumn id="33" name="enterable_expected"/>
    <x:tableColumn id="34" name="consentVisibilityRule"/>
    <x:tableColumn id="35" name="sourceFixtur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ac8f4e1d931463c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6" hidden="0" customWidth="1"/>
    <x:col min="4" max="4" width="16" hidden="0" customWidth="1"/>
    <x:col min="5" max="5" width="14" hidden="0" customWidth="1"/>
    <x:col min="6" max="6" width="14" hidden="0" customWidth="1"/>
    <x:col min="7" max="7" width="10" hidden="0" customWidth="1"/>
    <x:col min="8" max="8" width="10" hidden="0" customWidth="1"/>
    <x:col min="9" max="9" width="18" hidden="0" customWidth="1"/>
    <x:col min="10" max="10" width="24" hidden="0" customWidth="1"/>
    <x:col min="11" max="11" width="24" hidden="0" customWidth="1"/>
    <x:col min="12" max="12" width="30" hidden="0" customWidth="1"/>
    <x:col min="13" max="13" width="30" hidden="0" customWidth="1"/>
    <x:col min="14" max="14" width="24" hidden="0" customWidth="1"/>
    <x:col min="15" max="15" width="24" hidden="0" customWidth="1"/>
    <x:col min="16" max="16" width="36" hidden="0" customWidth="1"/>
    <x:col min="17" max="17" width="36" hidden="0" customWidth="1"/>
    <x:col min="18" max="18" width="32" hidden="0" customWidth="1"/>
    <x:col min="19" max="19" width="3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12" hidden="0" customWidth="1"/>
    <x:col min="25" max="25" width="12" hidden="0" customWidth="1"/>
    <x:col min="26" max="26" width="12" hidden="0" customWidth="1"/>
    <x:col min="27" max="27" width="40" hidden="0" customWidth="1"/>
    <x:col min="28" max="28" width="40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  <x:col min="33" max="33" width="12" hidden="0" customWidth="1"/>
    <x:col min="34" max="34" width="36" hidden="0" customWidth="1"/>
    <x:col min="35" max="35" width="16" hidden="0" customWidth="1"/>
  </x:cols>
  <x:sheetData>
    <x:row r="1" ht="51.26953125" hidden="0" customHeight="1">
      <x:c r="A1" s="15" t="str">
        <x:v>recordId</x:v>
      </x:c>
      <x:c r="B1" s="15" t="str">
        <x:v>contentType</x:v>
      </x:c>
      <x:c r="C1" s="15" t="str">
        <x:v>variantId</x:v>
      </x:c>
      <x:c r="D1" s="15" t="str">
        <x:v>articleId</x:v>
      </x:c>
      <x:c r="E1" s="15" t="str">
        <x:v>cardType</x:v>
      </x:c>
      <x:c r="F1" s="15" t="str">
        <x:v>legacyUnavailable</x:v>
      </x:c>
      <x:c r="G1" s="15" t="str">
        <x:v>isHero</x:v>
      </x:c>
      <x:c r="H1" s="15" t="str">
        <x:v>isSample</x:v>
      </x:c>
      <x:c r="I1" s="15" t="str">
        <x:v>thumbnailOrIcon</x:v>
      </x:c>
      <x:c r="J1" s="15" t="str">
        <x:v>title_en</x:v>
      </x:c>
      <x:c r="K1" s="15" t="str">
        <x:v>title_kr</x:v>
      </x:c>
      <x:c r="L1" s="15" t="str">
        <x:v>subtitle_en</x:v>
      </x:c>
      <x:c r="M1" s="15" t="str">
        <x:v>subtitle_kr</x:v>
      </x:c>
      <x:c r="N1" s="15" t="str">
        <x:v>tags_en</x:v>
      </x:c>
      <x:c r="O1" s="15" t="str">
        <x:v>tags_kr</x:v>
      </x:c>
      <x:c r="P1" s="15" t="str">
        <x:v>instruction_en</x:v>
      </x:c>
      <x:c r="Q1" s="15" t="str">
        <x:v>instruction_kr</x:v>
      </x:c>
      <x:c r="R1" s="15" t="str">
        <x:v>previewQuestion_en</x:v>
      </x:c>
      <x:c r="S1" s="15" t="str">
        <x:v>previewQuestion_kr</x:v>
      </x:c>
      <x:c r="T1" s="15" t="str">
        <x:v>answerChoiceA_en</x:v>
      </x:c>
      <x:c r="U1" s="15" t="str">
        <x:v>answerChoiceA_kr</x:v>
      </x:c>
      <x:c r="V1" s="15" t="str">
        <x:v>answerChoiceB_en</x:v>
      </x:c>
      <x:c r="W1" s="15" t="str">
        <x:v>answerChoiceB_kr</x:v>
      </x:c>
      <x:c r="X1" s="15" t="str">
        <x:v>estimatedMinutes</x:v>
      </x:c>
      <x:c r="Y1" s="15" t="str">
        <x:v>testShares</x:v>
      </x:c>
      <x:c r="Z1" s="15" t="str">
        <x:v>testAttempts</x:v>
      </x:c>
      <x:c r="AA1" s="15" t="str">
        <x:v>blogSummary_en</x:v>
      </x:c>
      <x:c r="AB1" s="15" t="str">
        <x:v>blogSummary_kr</x:v>
      </x:c>
      <x:c r="AC1" s="15" t="str">
        <x:v>blogReadMinutes</x:v>
      </x:c>
      <x:c r="AD1" s="15" t="str">
        <x:v>blogShares</x:v>
      </x:c>
      <x:c r="AE1" s="15" t="str">
        <x:v>blogViews</x:v>
      </x:c>
      <x:c r="AF1" s="15" t="str">
        <x:v>catalogVisible_expected</x:v>
      </x:c>
      <x:c r="AG1" s="15" t="str">
        <x:v>enterable_expected</x:v>
      </x:c>
      <x:c r="AH1" s="15" t="str">
        <x:v>consentVisibilityRule</x:v>
      </x:c>
      <x:c r="AI1" s="15" t="str">
        <x:v>sourceFixture</x:v>
      </x:c>
    </x:row>
    <x:row r="2" ht="68.359375" hidden="0" customHeight="1">
      <x:c r="A2" s="6" t="str">
        <x:v>test-qmbti</x:v>
      </x:c>
      <x:c r="B2" s="6" t="str">
        <x:v>test</x:v>
      </x:c>
      <x:c r="C2" s="6" t="str">
        <x:v>qmbti</x:v>
      </x:c>
      <x:c r="D2" s="6" t="str"/>
      <x:c r="E2" s="6" t="str">
        <x:v>available</x:v>
      </x:c>
      <x:c r="F2" s="6" t="str"/>
      <x:c r="G2" s="6" t="str">
        <x:v>TRUE</x:v>
      </x:c>
      <x:c r="H2" s="6" t="str">
        <x:v>FALSE</x:v>
      </x:c>
      <x:c r="I2" s="6" t="str">
        <x:v>icon-test-rhythm-a</x:v>
      </x:c>
      <x:c r="J2" s="6" t="str">
        <x:v>10m MBTI test</x:v>
      </x:c>
      <x:c r="K2" s="6" t="str">
        <x:v>10분컷 MBTI</x:v>
      </x:c>
      <x:c r="L2" s="6" t="str">
        <x:v>Find your default deep-work cadence.</x:v>
      </x:c>
      <x:c r="M2" s="6" t="str">
        <x:v>내 기본 딥워크 리듬을 빠르게 찾아보세요.</x:v>
      </x:c>
      <x:c r="N2" s="6" t="str">
        <x:v>Rapid | ipsum | Lorem</x:v>
      </x:c>
      <x:c r="O2" s="6" t="str">
        <x:v>순식간에 | 쌉가능 | 어서와</x:v>
      </x:c>
      <x:c r="P2" s="6" t="str">
        <x:v>Instruction dummy: QMBTI opens with a quick personality rhythm check before you move into the main questions.</x:v>
      </x:c>
      <x:c r="Q2" s="6" t="str">
        <x:v>더미 안내문: QMBTI는 본 문항에 들어가기 전에 작업 리듬 성향을 짧게 점검하는 테스트입니다.</x:v>
      </x:c>
      <x:c r="R2" s="6" t="str">
        <x:v>🎉 When do you feel most focused?</x:v>
      </x:c>
      <x:c r="S2" s="6" t="str">
        <x:v>🎉 파티나 생일잔치에 가면 나는</x:v>
      </x:c>
      <x:c r="T2" s="6" t="str">
        <x:v>Early morning blocks</x:v>
      </x:c>
      <x:c r="U2" s="6" t="str">
        <x:v>처음 보는 친구랑도 금방 친해져</x:v>
      </x:c>
      <x:c r="V2" s="6" t="str">
        <x:v>Late-night sprints</x:v>
      </x:c>
      <x:c r="W2" s="6" t="str">
        <x:v>원래 잘 아는 친구랑 주로 어울려</x:v>
      </x:c>
      <x:c r="X2" s="16" t="n">
        <x:v>3</x:v>
      </x:c>
      <x:c r="Y2" s="16" t="n">
        <x:v>2184</x:v>
      </x:c>
      <x:c r="Z2" s="16" t="n">
        <x:v>15236</x:v>
      </x:c>
      <x:c r="AA2" s="6" t="str"/>
      <x:c r="AB2" s="6" t="str"/>
      <x:c r="AC2" s="16" t="str"/>
      <x:c r="AD2" s="16" t="str"/>
      <x:c r="AE2" s="16" t="str"/>
      <x:c r="AF2" s="6" t="b">
        <x:f>IF(OR($E2="hide",$E2="debug"),FALSE,TRUE)</x:f>
        <x:v>1</x:v>
      </x:c>
      <x:c r="AG2" s="6" t="b">
        <x:f>IF(OR($E2="available",$E2="opt_out"),TRUE,FALSE)</x:f>
        <x:v>1</x:v>
      </x:c>
      <x:c r="AH2" s="6" t="str">
        <x:f>IF($E2="available","UNKNOWN/OPTED_IN only; hide on OPTED_OUT",IF($E2="opt_out","Always visible; always enterable",IF($E2="unavailable","Always visible; non-enterable; Coming Soon",IF($E2="hide","Never visible in end-user catalog",IF($E2="debug","QA/local only; hidden in production catalog","")))))</x:f>
        <x:v>UNKNOWN/OPTED_IN only; hide on OPTED_OUT</x:v>
      </x:c>
      <x:c r="AI2" s="6" t="str">
        <x:v>raw-fixtures.ts</x:v>
      </x:c>
    </x:row>
    <x:row r="3" ht="102.5390625" hidden="0" customHeight="1">
      <x:c r="A3" s="6" t="str">
        <x:v>test-rhythm-b</x:v>
      </x:c>
      <x:c r="B3" s="6" t="str">
        <x:v>test</x:v>
      </x:c>
      <x:c r="C3" s="6" t="str">
        <x:v>rhythm-b</x:v>
      </x:c>
      <x:c r="D3" s="6" t="str"/>
      <x:c r="E3" s="6" t="str">
        <x:v>available</x:v>
      </x:c>
      <x:c r="F3" s="6" t="str"/>
      <x:c r="G3" s="6" t="str">
        <x:v>FALSE</x:v>
      </x:c>
      <x:c r="H3" s="6" t="str">
        <x:v>FALSE</x:v>
      </x:c>
      <x:c r="I3" s="6" t="str">
        <x:v>icon-test-rhythm-b</x:v>
      </x:c>
      <x:c r="J3" s="6" t="str">
        <x:v>Focus Rhythm B Long String example here goes ipsum lorem varaint string edge case here example</x:v>
      </x:c>
      <x:c r="K3" s="6" t="str">
        <x:v>집중 리듬 B Long String example here goes ipsum lorem varaint string edge case here example</x:v>
      </x:c>
      <x:c r="L3" s="6" t="str">
        <x:v>LONGTOKENWITHOUTBREAKS_ABCDEFGHIJKLMNOPQRSTUVWXYZ_1234567890_REPEAT_REPEAT_REPEAT</x:v>
      </x:c>
      <x:c r="M3" s="6" t="str">
        <x:v>집중기준점_LONGTOKENWITHOUTBREAKS_ABCDEFGHIJKLMNOPQRSTUVWXYZ_1234567890_REPEAT_REPEAT_REPEAT</x:v>
      </x:c>
      <x:c r="N3" s="6" t="str">
        <x:v>workflow | ipsum lorem long tag | Lorem long tag example</x:v>
      </x:c>
      <x:c r="O3" s="6" t="str">
        <x:v>워크플로 | ipsum lorem long tag | Lorem long tag example here</x:v>
      </x:c>
      <x:c r="P3" s="6" t="str">
        <x:v>Instruction dummy: Rhythm B asks you to compare interruption patterns and pacing signals across your work blocks.</x:v>
      </x:c>
      <x:c r="Q3" s="6" t="str">
        <x:v>더미 안내문: 리듬 B는 작업 블록마다 방해 패턴과 페이스 신호를 비교하도록 구성된 테스트입니다.</x:v>
      </x:c>
      <x:c r="R3" s="6" t="str">
        <x:v>How often do interruptions break your pace? How often do interruptions break your pace? How often do interruptions break your pace?</x:v>
      </x:c>
      <x:c r="S3" s="6" t="str">
        <x:v>방해가 흐름을 끊는 빈도는 어느 정도인가요? 방해가 흐름을 끊는 빈도는 어느 정도인가요? 방해가 흐름을 끊는 빈도는 어느 정도인가요?</x:v>
      </x:c>
      <x:c r="T3" s="6" t="str">
        <x:v>Almost never</x:v>
      </x:c>
      <x:c r="U3" s="6" t="str">
        <x:v>거의 없다 동해물과 백두산이 마르고 닳도록 긴 응답 예시 여기</x:v>
      </x:c>
      <x:c r="V3" s="6" t="str">
        <x:v>Multiple times each hour</x:v>
      </x:c>
      <x:c r="W3" s="6" t="str">
        <x:v>한 시간에도 여러 번 있다 동해물과 백두산이 마르고 닳도록 긴 응답 예시 여기</x:v>
      </x:c>
      <x:c r="X3" s="16" t="n">
        <x:v>4</x:v>
      </x:c>
      <x:c r="Y3" s="16" t="n">
        <x:v>982</x:v>
      </x:c>
      <x:c r="Z3" s="16" t="n">
        <x:v>8392</x:v>
      </x:c>
      <x:c r="AA3" s="6" t="str"/>
      <x:c r="AB3" s="6" t="str"/>
      <x:c r="AC3" s="16" t="str"/>
      <x:c r="AD3" s="16" t="str"/>
      <x:c r="AE3" s="16" t="str"/>
      <x:c r="AF3" s="6" t="b">
        <x:f>IF(OR($E3="hide",$E3="debug"),FALSE,TRUE)</x:f>
        <x:v>1</x:v>
      </x:c>
      <x:c r="AG3" s="6" t="b">
        <x:f>IF(OR($E3="available",$E3="opt_out"),TRUE,FALSE)</x:f>
        <x:v>1</x:v>
      </x:c>
      <x:c r="AH3" s="6" t="str">
        <x:f>IF($E3="available","UNKNOWN/OPTED_IN only; hide on OPTED_OUT",IF($E3="opt_out","Always visible; always enterable",IF($E3="unavailable","Always visible; non-enterable; Coming Soon",IF($E3="hide","Never visible in end-user catalog",IF($E3="debug","QA/local only; hidden in production catalog","")))))</x:f>
        <x:v>UNKNOWN/OPTED_IN only; hide on OPTED_OUT</x:v>
      </x:c>
      <x:c r="AI3" s="6" t="str">
        <x:v>raw-fixtures.ts</x:v>
      </x:c>
    </x:row>
    <x:row r="4" ht="68.359375" hidden="0" customHeight="1">
      <x:c r="A4" s="6" t="str">
        <x:v>test-debug-sample</x:v>
      </x:c>
      <x:c r="B4" s="6" t="str">
        <x:v>test</x:v>
      </x:c>
      <x:c r="C4" s="6" t="str">
        <x:v>debug-sample</x:v>
      </x:c>
      <x:c r="D4" s="6" t="str"/>
      <x:c r="E4" s="6" t="str">
        <x:v>debug</x:v>
      </x:c>
      <x:c r="F4" s="6" t="str"/>
      <x:c r="G4" s="6" t="str">
        <x:v>FALSE</x:v>
      </x:c>
      <x:c r="H4" s="6" t="str">
        <x:v>TRUE</x:v>
      </x:c>
      <x:c r="I4" s="6" t="str">
        <x:v>icon-test-debug</x:v>
      </x:c>
      <x:c r="J4" s="6" t="str">
        <x:v>Sample Debug Variant</x:v>
      </x:c>
      <x:c r="K4" s="6" t="str">
        <x:v>샘플 디버그 변형</x:v>
      </x:c>
      <x:c r="L4" s="6" t="str">
        <x:v>Internal reference card for QA and snapshots.</x:v>
      </x:c>
      <x:c r="M4" s="6" t="str">
        <x:v>QA와 스냅샷 검증을 위한 내부 참조 카드입니다.</x:v>
      </x:c>
      <x:c r="N4" s="6" t="str"/>
      <x:c r="O4" s="6" t="str"/>
      <x:c r="P4" s="6" t="str">
        <x:v>Instruction dummy: Debug Sample exists only for internal QA and uses a deterministic planning prompt.</x:v>
      </x:c>
      <x:c r="Q4" s="6" t="str">
        <x:v>더미 안내문: 디버그 샘플은 내부 QA 전용이며 결정형 계획 선호를 확인하는 프롬프트를 사용합니다.</x:v>
      </x:c>
      <x:c r="R4" s="6" t="str">
        <x:v>Do you prefer deterministic or exploratory planning?</x:v>
      </x:c>
      <x:c r="S4" s="6" t="str">
        <x:v>계획은 정해진 흐름과 탐색형 접근 중 어느 쪽이 더 편한가요?</x:v>
      </x:c>
      <x:c r="T4" s="6" t="str">
        <x:v>Deterministic</x:v>
      </x:c>
      <x:c r="U4" s="6" t="str">
        <x:v>정해진 흐름</x:v>
      </x:c>
      <x:c r="V4" s="6" t="str">
        <x:v>Exploratory</x:v>
      </x:c>
      <x:c r="W4" s="6" t="str">
        <x:v>탐색형 접근</x:v>
      </x:c>
      <x:c r="X4" s="16" t="n">
        <x:v>2</x:v>
      </x:c>
      <x:c r="Y4" s="16" t="n">
        <x:v>74</x:v>
      </x:c>
      <x:c r="Z4" s="16" t="n">
        <x:v>640</x:v>
      </x:c>
      <x:c r="AA4" s="6" t="str"/>
      <x:c r="AB4" s="6" t="str"/>
      <x:c r="AC4" s="16" t="str"/>
      <x:c r="AD4" s="16" t="str"/>
      <x:c r="AE4" s="16" t="str"/>
      <x:c r="AF4" s="6" t="b">
        <x:f>IF(OR($E4="hide",$E4="debug"),FALSE,TRUE)</x:f>
        <x:v>0</x:v>
      </x:c>
      <x:c r="AG4" s="6" t="b">
        <x:f>IF(OR($E4="available",$E4="opt_out"),TRUE,FALSE)</x:f>
        <x:v>0</x:v>
      </x:c>
      <x:c r="AH4" s="6" t="str">
        <x:f>IF($E4="available","UNKNOWN/OPTED_IN only; hide on OPTED_OUT",IF($E4="opt_out","Always visible; always enterable",IF($E4="unavailable","Always visible; non-enterable; Coming Soon",IF($E4="hide","Never visible in end-user catalog",IF($E4="debug","QA/local only; hidden in production catalog","")))))</x:f>
        <x:v>QA/local only; hidden in production catalog</x:v>
      </x:c>
      <x:c r="AI4" s="6" t="str">
        <x:v>raw-fixtures.ts</x:v>
      </x:c>
    </x:row>
    <x:row r="5" ht="68.359375" hidden="0" customHeight="1">
      <x:c r="A5" s="6" t="str">
        <x:v>test-energy-check</x:v>
      </x:c>
      <x:c r="B5" s="6" t="str">
        <x:v>test</x:v>
      </x:c>
      <x:c r="C5" s="6" t="str">
        <x:v>energy-check</x:v>
      </x:c>
      <x:c r="D5" s="6" t="str"/>
      <x:c r="E5" s="6" t="str">
        <x:v>opt_out</x:v>
      </x:c>
      <x:c r="F5" s="6" t="str"/>
      <x:c r="G5" s="6" t="str">
        <x:v>FALSE</x:v>
      </x:c>
      <x:c r="H5" s="6" t="str">
        <x:v>FALSE</x:v>
      </x:c>
      <x:c r="I5" s="6" t="str">
        <x:v>icon-test-energy</x:v>
      </x:c>
      <x:c r="J5" s="6" t="str">
        <x:v>Energy Allocation Check</x:v>
      </x:c>
      <x:c r="K5" s="6" t="str">
        <x:v>에너지 배분 점검</x:v>
      </x:c>
      <x:c r="L5" s="6" t="str">
        <x:v>Identify where your mental load leaks each day.</x:v>
      </x:c>
      <x:c r="M5" s="6" t="str">
        <x:v>하루 동안 정신 에너지가 새는 지점을 찾아봅니다.</x:v>
      </x:c>
      <x:c r="N5" s="6" t="str">
        <x:v>energy | planning</x:v>
      </x:c>
      <x:c r="O5" s="6" t="str">
        <x:v>에너지 | 계획</x:v>
      </x:c>
      <x:c r="P5" s="6" t="str">
        <x:v>Instruction dummy: Energy Check maps where your daily load leaks and asks you to follow the strongest drain signal.</x:v>
      </x:c>
      <x:c r="Q5" s="6" t="str">
        <x:v>더미 안내문: 에너지 체크는 하루의 부담이 새는 지점을 추적하고 가장 큰 소모 신호를 따라가게 합니다.</x:v>
      </x:c>
      <x:c r="R5" s="6" t="str">
        <x:v>Which block drains your energy the most?</x:v>
      </x:c>
      <x:c r="S5" s="6" t="str">
        <x:v>어떤 시간대가 에너지를 가장 많이 소모시키나요?</x:v>
      </x:c>
      <x:c r="T5" s="6" t="str">
        <x:v>Context switching</x:v>
      </x:c>
      <x:c r="U5" s="6" t="str">
        <x:v>잦은 맥락 전환</x:v>
      </x:c>
      <x:c r="V5" s="6" t="str">
        <x:v>Long meetings</x:v>
      </x:c>
      <x:c r="W5" s="6" t="str">
        <x:v>긴 회의</x:v>
      </x:c>
      <x:c r="X5" s="16" t="n">
        <x:v>5</x:v>
      </x:c>
      <x:c r="Y5" s="16" t="n">
        <x:v>1445</x:v>
      </x:c>
      <x:c r="Z5" s="16" t="n">
        <x:v>10448</x:v>
      </x:c>
      <x:c r="AA5" s="6" t="str"/>
      <x:c r="AB5" s="6" t="str"/>
      <x:c r="AC5" s="16" t="str"/>
      <x:c r="AD5" s="16" t="str"/>
      <x:c r="AE5" s="16" t="str"/>
      <x:c r="AF5" s="6" t="b">
        <x:f>IF(OR($E5="hide",$E5="debug"),FALSE,TRUE)</x:f>
        <x:v>1</x:v>
      </x:c>
      <x:c r="AG5" s="6" t="b">
        <x:f>IF(OR($E5="available",$E5="opt_out"),TRUE,FALSE)</x:f>
        <x:v>1</x:v>
      </x:c>
      <x:c r="AH5" s="6" t="str">
        <x:f>IF($E5="available","UNKNOWN/OPTED_IN only; hide on OPTED_OUT",IF($E5="opt_out","Always visible; always enterable",IF($E5="unavailable","Always visible; non-enterable; Coming Soon",IF($E5="hide","Never visible in end-user catalog",IF($E5="debug","QA/local only; hidden in production catalog","")))))</x:f>
        <x:v>Always visible; always enterable</x:v>
      </x:c>
      <x:c r="AI5" s="6" t="str">
        <x:v>raw-fixtures.ts</x:v>
      </x:c>
    </x:row>
    <x:row r="6" ht="68.359375" hidden="0" customHeight="1">
      <x:c r="A6" s="6" t="str">
        <x:v>test-coming-soon-1</x:v>
      </x:c>
      <x:c r="B6" s="6" t="str">
        <x:v>test</x:v>
      </x:c>
      <x:c r="C6" s="6" t="str">
        <x:v>creativity-profile</x:v>
      </x:c>
      <x:c r="D6" s="6" t="str"/>
      <x:c r="E6" s="6" t="str">
        <x:v>unavailable</x:v>
      </x:c>
      <x:c r="F6" s="6" t="str">
        <x:v>TRUE</x:v>
      </x:c>
      <x:c r="G6" s="6" t="str">
        <x:v>FALSE</x:v>
      </x:c>
      <x:c r="H6" s="6" t="str">
        <x:v>FALSE</x:v>
      </x:c>
      <x:c r="I6" s="6" t="str">
        <x:v>icon-test-coming-soon-1</x:v>
      </x:c>
      <x:c r="J6" s="6" t="str">
        <x:v>Creativity Profile (Soon)</x:v>
      </x:c>
      <x:c r="K6" s="6" t="str">
        <x:v>창의성 프로필 (곧 공개)</x:v>
      </x:c>
      <x:c r="L6" s="6" t="str">
        <x:v>Upcoming variant under editorial review.</x:v>
      </x:c>
      <x:c r="M6" s="6" t="str">
        <x:v>에디토리얼 검토 중인 예정 변형입니다.</x:v>
      </x:c>
      <x:c r="N6" s="6" t="str">
        <x:v>coming-soon</x:v>
      </x:c>
      <x:c r="O6" s="6" t="str">
        <x:v>출시예정</x:v>
      </x:c>
      <x:c r="P6" s="6" t="str">
        <x:v>Instruction dummy: Creativity Profile preview is a placeholder for the upcoming editorial release.</x:v>
      </x:c>
      <x:c r="Q6" s="6" t="str">
        <x:v>더미 안내문: 창의성 프로필은 곧 공개될 에디토리얼 버전용 임시 안내문을 사용합니다.</x:v>
      </x:c>
      <x:c r="R6" s="6" t="str">
        <x:v>Placeholder preview question for upcoming card.</x:v>
      </x:c>
      <x:c r="S6" s="6" t="str">
        <x:v>공개 예정 카드를 위한 임시 미리보기 질문입니다.</x:v>
      </x:c>
      <x:c r="T6" s="6" t="str">
        <x:v>Option A</x:v>
      </x:c>
      <x:c r="U6" s="6" t="str">
        <x:v>옵션 A</x:v>
      </x:c>
      <x:c r="V6" s="6" t="str">
        <x:v>Option B</x:v>
      </x:c>
      <x:c r="W6" s="6" t="str">
        <x:v>옵션 B</x:v>
      </x:c>
      <x:c r="X6" s="16" t="n">
        <x:v>4</x:v>
      </x:c>
      <x:c r="Y6" s="16" t="n">
        <x:v>0</x:v>
      </x:c>
      <x:c r="Z6" s="16" t="n">
        <x:v>0</x:v>
      </x:c>
      <x:c r="AA6" s="6" t="str"/>
      <x:c r="AB6" s="6" t="str"/>
      <x:c r="AC6" s="16" t="str"/>
      <x:c r="AD6" s="16" t="str"/>
      <x:c r="AE6" s="16" t="str"/>
      <x:c r="AF6" s="6" t="b">
        <x:f>IF(OR($E6="hide",$E6="debug"),FALSE,TRUE)</x:f>
        <x:v>1</x:v>
      </x:c>
      <x:c r="AG6" s="6" t="b">
        <x:f>IF(OR($E6="available",$E6="opt_out"),TRUE,FALSE)</x:f>
        <x:v>0</x:v>
      </x:c>
      <x:c r="AH6" s="6" t="str">
        <x:f>IF($E6="available","UNKNOWN/OPTED_IN only; hide on OPTED_OUT",IF($E6="opt_out","Always visible; always enterable",IF($E6="unavailable","Always visible; non-enterable; Coming Soon",IF($E6="hide","Never visible in end-user catalog",IF($E6="debug","QA/local only; hidden in production catalog","")))))</x:f>
        <x:v>Always visible; non-enterable; Coming Soon</x:v>
      </x:c>
      <x:c r="AI6" s="6" t="str">
        <x:v>raw-fixtures.ts</x:v>
      </x:c>
    </x:row>
    <x:row r="7" ht="68.359375" hidden="0" customHeight="1">
      <x:c r="A7" s="6" t="str">
        <x:v>test-coming-soon-2</x:v>
      </x:c>
      <x:c r="B7" s="6" t="str">
        <x:v>test</x:v>
      </x:c>
      <x:c r="C7" s="6" t="str">
        <x:v>burnout-risk</x:v>
      </x:c>
      <x:c r="D7" s="6" t="str"/>
      <x:c r="E7" s="6" t="str">
        <x:v>unavailable</x:v>
      </x:c>
      <x:c r="F7" s="6" t="str">
        <x:v>TRUE</x:v>
      </x:c>
      <x:c r="G7" s="6" t="str">
        <x:v>FALSE</x:v>
      </x:c>
      <x:c r="H7" s="6" t="str">
        <x:v>FALSE</x:v>
      </x:c>
      <x:c r="I7" s="6" t="str">
        <x:v>icon-test-coming-soon-2</x:v>
      </x:c>
      <x:c r="J7" s="6" t="str">
        <x:v>Burnout Risk Signal (Soon)</x:v>
      </x:c>
      <x:c r="K7" s="6" t="str">
        <x:v>번아웃 위험 신호 (곧 공개)</x:v>
      </x:c>
      <x:c r="L7" s="6" t="str">
        <x:v>Upcoming resilience check for recurring fatigue patterns.</x:v>
      </x:c>
      <x:c r="M7" s="6" t="str">
        <x:v>반복되는 피로 패턴을 살피는 회복탄력성 체크가 곧 추가됩니다.</x:v>
      </x:c>
      <x:c r="N7" s="6" t="str">
        <x:v>coming-soon | wellbeing</x:v>
      </x:c>
      <x:c r="O7" s="6" t="str">
        <x:v>출시예정 | 웰빙</x:v>
      </x:c>
      <x:c r="P7" s="6" t="str">
        <x:v>Instruction dummy: Burnout Risk preview is a placeholder for the future recovery-signal test.</x:v>
      </x:c>
      <x:c r="Q7" s="6" t="str">
        <x:v>더미 안내문: 번아웃 위험 신호 카드는 향후 회복 신호 테스트를 위한 임시 안내문을 사용합니다.</x:v>
      </x:c>
      <x:c r="R7" s="6" t="str">
        <x:v>Placeholder preview question for upcoming card.</x:v>
      </x:c>
      <x:c r="S7" s="6" t="str">
        <x:v>공개 예정 카드를 위한 임시 미리보기 질문입니다.</x:v>
      </x:c>
      <x:c r="T7" s="6" t="str">
        <x:v>Option A</x:v>
      </x:c>
      <x:c r="U7" s="6" t="str">
        <x:v>옵션 A</x:v>
      </x:c>
      <x:c r="V7" s="6" t="str">
        <x:v>Option B</x:v>
      </x:c>
      <x:c r="W7" s="6" t="str">
        <x:v>옵션 B</x:v>
      </x:c>
      <x:c r="X7" s="16" t="n">
        <x:v>4</x:v>
      </x:c>
      <x:c r="Y7" s="16" t="n">
        <x:v>0</x:v>
      </x:c>
      <x:c r="Z7" s="16" t="n">
        <x:v>0</x:v>
      </x:c>
      <x:c r="AA7" s="6" t="str"/>
      <x:c r="AB7" s="6" t="str"/>
      <x:c r="AC7" s="16" t="str"/>
      <x:c r="AD7" s="16" t="str"/>
      <x:c r="AE7" s="16" t="str"/>
      <x:c r="AF7" s="6" t="b">
        <x:f>IF(OR($E7="hide",$E7="debug"),FALSE,TRUE)</x:f>
        <x:v>1</x:v>
      </x:c>
      <x:c r="AG7" s="6" t="b">
        <x:f>IF(OR($E7="available",$E7="opt_out"),TRUE,FALSE)</x:f>
        <x:v>0</x:v>
      </x:c>
      <x:c r="AH7" s="6" t="str">
        <x:f>IF($E7="available","UNKNOWN/OPTED_IN only; hide on OPTED_OUT",IF($E7="opt_out","Always visible; always enterable",IF($E7="unavailable","Always visible; non-enterable; Coming Soon",IF($E7="hide","Never visible in end-user catalog",IF($E7="debug","QA/local only; hidden in production catalog","")))))</x:f>
        <x:v>Always visible; non-enterable; Coming Soon</x:v>
      </x:c>
      <x:c r="AI7" s="6" t="str">
        <x:v>raw-fixtures.ts</x:v>
      </x:c>
    </x:row>
    <x:row r="8" ht="68.359375" hidden="0" customHeight="1">
      <x:c r="A8" s="6" t="str">
        <x:v>test-hidden-beta</x:v>
      </x:c>
      <x:c r="B8" s="6" t="str">
        <x:v>test</x:v>
      </x:c>
      <x:c r="C8" s="6" t="str">
        <x:v>hidden-beta</x:v>
      </x:c>
      <x:c r="D8" s="6" t="str"/>
      <x:c r="E8" s="6" t="str">
        <x:v>hide</x:v>
      </x:c>
      <x:c r="F8" s="6" t="str"/>
      <x:c r="G8" s="6" t="str">
        <x:v>FALSE</x:v>
      </x:c>
      <x:c r="H8" s="6" t="str">
        <x:v>FALSE</x:v>
      </x:c>
      <x:c r="I8" s="6" t="str">
        <x:v>icon-test-hidden-beta</x:v>
      </x:c>
      <x:c r="J8" s="6" t="str">
        <x:v>Hidden Beta Track</x:v>
      </x:c>
      <x:c r="K8" s="6" t="str">
        <x:v>비공개 베타 트랙</x:v>
      </x:c>
      <x:c r="L8" s="6" t="str">
        <x:v>Temporarily removed from the public catalog while content is being reworked.</x:v>
      </x:c>
      <x:c r="M8" s="6" t="str">
        <x:v>콘텐츠를 손보는 동안 퍼블릭 카탈로그에서는 잠시 숨겨둔 카드입니다.</x:v>
      </x:c>
      <x:c r="N8" s="6" t="str">
        <x:v>internal | beta</x:v>
      </x:c>
      <x:c r="O8" s="6" t="str">
        <x:v>내부 | 베타</x:v>
      </x:c>
      <x:c r="P8" s="6" t="str">
        <x:v>Instruction dummy: Hidden Beta explains the private prototype track that is temporarily hidden from the public catalog.</x:v>
      </x:c>
      <x:c r="Q8" s="6" t="str">
        <x:v>더미 안내문: 히든 베타는 현재 퍼블릭 카탈로그에서 숨겨진 비공개 프로토타입 트랙을 설명합니다.</x:v>
      </x:c>
      <x:c r="R8" s="6" t="str">
        <x:v>Which signal tells you a prototype is ready to share?</x:v>
      </x:c>
      <x:c r="S8" s="6" t="str">
        <x:v>프로토타입을 공유해도 된다는 신호는 무엇인가요?</x:v>
      </x:c>
      <x:c r="T8" s="6" t="str">
        <x:v>Stable enough to explain</x:v>
      </x:c>
      <x:c r="U8" s="6" t="str">
        <x:v>설명 가능한 수준으로 안정적일 때</x:v>
      </x:c>
      <x:c r="V8" s="6" t="str">
        <x:v>Rough, but directionally useful</x:v>
      </x:c>
      <x:c r="W8" s="6" t="str">
        <x:v>거칠어도 방향성 검증에는 충분할 때</x:v>
      </x:c>
      <x:c r="X8" s="16" t="n">
        <x:v>3</x:v>
      </x:c>
      <x:c r="Y8" s="16" t="n">
        <x:v>0</x:v>
      </x:c>
      <x:c r="Z8" s="16" t="n">
        <x:v>0</x:v>
      </x:c>
      <x:c r="AA8" s="6" t="str"/>
      <x:c r="AB8" s="6" t="str"/>
      <x:c r="AC8" s="16" t="str"/>
      <x:c r="AD8" s="16" t="str"/>
      <x:c r="AE8" s="16" t="str"/>
      <x:c r="AF8" s="6" t="b">
        <x:f>IF(OR($E8="hide",$E8="debug"),FALSE,TRUE)</x:f>
        <x:v>0</x:v>
      </x:c>
      <x:c r="AG8" s="6" t="b">
        <x:f>IF(OR($E8="available",$E8="opt_out"),TRUE,FALSE)</x:f>
        <x:v>0</x:v>
      </x:c>
      <x:c r="AH8" s="6" t="str">
        <x:f>IF($E8="available","UNKNOWN/OPTED_IN only; hide on OPTED_OUT",IF($E8="opt_out","Always visible; always enterable",IF($E8="unavailable","Always visible; non-enterable; Coming Soon",IF($E8="hide","Never visible in end-user catalog",IF($E8="debug","QA/local only; hidden in production catalog","")))))</x:f>
        <x:v>Never visible in end-user catalog</x:v>
      </x:c>
      <x:c r="AI8" s="6" t="str">
        <x:v>raw-fixtures.ts</x:v>
      </x:c>
    </x:row>
    <x:row r="9" ht="239.2578125" hidden="0" customHeight="1">
      <x:c r="A9" s="6" t="str">
        <x:v>blog-ops-handbook</x:v>
      </x:c>
      <x:c r="B9" s="6" t="str">
        <x:v>blog</x:v>
      </x:c>
      <x:c r="C9" s="6" t="str"/>
      <x:c r="D9" s="6" t="str">
        <x:v>ops-handbook</x:v>
      </x:c>
      <x:c r="E9" s="6" t="str">
        <x:v>available</x:v>
      </x:c>
      <x:c r="F9" s="6" t="str"/>
      <x:c r="G9" s="6" t="str">
        <x:v>FALSE</x:v>
      </x:c>
      <x:c r="H9" s="6" t="str">
        <x:v>FALSE</x:v>
      </x:c>
      <x:c r="I9" s="6" t="str">
        <x:v>icon-blog-ops</x:v>
      </x:c>
      <x:c r="J9" s="6" t="str">
        <x:v>Operational Handbook for Stable Releases</x:v>
      </x:c>
      <x:c r="K9" s="6" t="str">
        <x:v>안정적인 배포를 위한 운영 핸드북</x:v>
      </x:c>
      <x:c r="L9" s="6" t="str">
        <x:v>Patterns to reduce release-day surprises.</x:v>
      </x:c>
      <x:c r="M9" s="6" t="str">
        <x:v>배포 당일의 돌발 변수를 줄이는 운영 패턴을 정리했습니다.</x:v>
      </x:c>
      <x:c r="N9" s="6" t="str">
        <x:v>operations | release</x:v>
      </x:c>
      <x:c r="O9" s="6" t="str">
        <x:v>운영 | 배포</x:v>
      </x:c>
      <x:c r="P9" s="6" t="str"/>
      <x:c r="Q9" s="6" t="str"/>
      <x:c r="R9" s="6" t="str"/>
      <x:c r="S9" s="6" t="str"/>
      <x:c r="T9" s="6" t="str"/>
      <x:c r="U9" s="6" t="str"/>
      <x:c r="V9" s="6" t="str"/>
      <x:c r="W9" s="6" t="str"/>
      <x:c r="X9" s="16" t="str"/>
      <x:c r="Y9" s="16" t="str"/>
      <x:c r="Z9" s="16" t="str"/>
      <x:c r="AA9" s="6" t="str">
        <x:v>This long-form article walks through incident posture, deployment sequencing, rollback ergonomics, observability baselines, and a practical checklist for reducing mean-time-to-detect and mean-time-to-recover. It intentionally includes extended prose so summary clamp and overflow rules can be validated against realistic payload sizes in both desktop and mobile layouts.</x:v>
      </x:c>
      <x:c r="AB9" s="6" t="str">
        <x:v>이 글은 사고 대응 태세를 어떻게 준비할지, 배포 순서를 어떤 원칙으로 고정할지, 롤백을 얼마나 빠르고 안전하게 수행할지, 그리고 관측 가능성 기준선을 어디까지 갖춰야 하는지를 긴 호흡으로 정리합니다. 또한 탐지 시간과 복구 시간을 줄이기 위한 실전 체크리스트를 함께 다루며, 데스크톱과 모바일 레이아웃 모두에서 summary clamp 와 overflow 규칙을 충분히 검증할 수 있도록 의도적으로 긴 문장 길이를 유지합니다.</x:v>
      </x:c>
      <x:c r="AC9" s="16" t="n">
        <x:v>8</x:v>
      </x:c>
      <x:c r="AD9" s="16" t="n">
        <x:v>1920</x:v>
      </x:c>
      <x:c r="AE9" s="16" t="n">
        <x:v>42401</x:v>
      </x:c>
      <x:c r="AF9" s="6" t="b">
        <x:f>IF(OR($E9="hide",$E9="debug"),FALSE,TRUE)</x:f>
        <x:v>1</x:v>
      </x:c>
      <x:c r="AG9" s="6" t="b">
        <x:f>IF(OR($E9="available",$E9="opt_out"),TRUE,FALSE)</x:f>
        <x:v>1</x:v>
      </x:c>
      <x:c r="AH9" s="6" t="str">
        <x:f>IF($E9="available","UNKNOWN/OPTED_IN only; hide on OPTED_OUT",IF($E9="opt_out","Always visible; always enterable",IF($E9="unavailable","Always visible; non-enterable; Coming Soon",IF($E9="hide","Never visible in end-user catalog",IF($E9="debug","QA/local only; hidden in production catalog","")))))</x:f>
        <x:v>UNKNOWN/OPTED_IN only; hide on OPTED_OUT</x:v>
      </x:c>
      <x:c r="AI9" s="6" t="str">
        <x:v>raw-fixtures.ts</x:v>
      </x:c>
    </x:row>
    <x:row r="10" ht="68.359375" hidden="0" customHeight="1">
      <x:c r="A10" s="6" t="str">
        <x:v>blog-build-metrics</x:v>
      </x:c>
      <x:c r="B10" s="6" t="str">
        <x:v>blog</x:v>
      </x:c>
      <x:c r="C10" s="6" t="str"/>
      <x:c r="D10" s="6" t="str">
        <x:v>build-metrics</x:v>
      </x:c>
      <x:c r="E10" s="6" t="str">
        <x:v>available</x:v>
      </x:c>
      <x:c r="F10" s="6" t="str"/>
      <x:c r="G10" s="6" t="str">
        <x:v>FALSE</x:v>
      </x:c>
      <x:c r="H10" s="6" t="str">
        <x:v>FALSE</x:v>
      </x:c>
      <x:c r="I10" s="6" t="str">
        <x:v>icon-blog-build-metrics</x:v>
      </x:c>
      <x:c r="J10" s="6" t="str">
        <x:v>Build Metrics That Actually Matter</x:v>
      </x:c>
      <x:c r="K10" s="6" t="str">
        <x:v>정말 중요한 빌드 지표</x:v>
      </x:c>
      <x:c r="L10" s="6" t="str">
        <x:v>Avoid vanity charts and pick deterministic release indicators.</x:v>
      </x:c>
      <x:c r="M10" s="6" t="str">
        <x:v>허영 지표를 걷어내고 배포를 막을 수 있는 결정적 신호에 집중합니다.</x:v>
      </x:c>
      <x:c r="N10" s="6" t="str"/>
      <x:c r="O10" s="6" t="str"/>
      <x:c r="P10" s="6" t="str"/>
      <x:c r="Q10" s="6" t="str"/>
      <x:c r="R10" s="6" t="str"/>
      <x:c r="S10" s="6" t="str"/>
      <x:c r="T10" s="6" t="str"/>
      <x:c r="U10" s="6" t="str"/>
      <x:c r="V10" s="6" t="str"/>
      <x:c r="W10" s="6" t="str"/>
      <x:c r="X10" s="16" t="str"/>
      <x:c r="Y10" s="16" t="str"/>
      <x:c r="Z10" s="16" t="str"/>
      <x:c r="AA10" s="6" t="str">
        <x:v>A compact field guide to selecting build-time, test-time, and runtime quality indicators that correlate with user outcomes.</x:v>
      </x:c>
      <x:c r="AB10" s="6" t="str">
        <x:v>사용자 결과와 실제로 연결되는 빌드, 테스트, 런타임 품질 지표를 고르는 짧고 실용적인 가이드입니다.</x:v>
      </x:c>
      <x:c r="AC10" s="16" t="n">
        <x:v>6</x:v>
      </x:c>
      <x:c r="AD10" s="16" t="n">
        <x:v>1180</x:v>
      </x:c>
      <x:c r="AE10" s="16" t="n">
        <x:v>21502</x:v>
      </x:c>
      <x:c r="AF10" s="6" t="b">
        <x:f>IF(OR($E10="hide",$E10="debug"),FALSE,TRUE)</x:f>
        <x:v>1</x:v>
      </x:c>
      <x:c r="AG10" s="6" t="b">
        <x:f>IF(OR($E10="available",$E10="opt_out"),TRUE,FALSE)</x:f>
        <x:v>1</x:v>
      </x:c>
      <x:c r="AH10" s="6" t="str">
        <x:f>IF($E10="available","UNKNOWN/OPTED_IN only; hide on OPTED_OUT",IF($E10="opt_out","Always visible; always enterable",IF($E10="unavailable","Always visible; non-enterable; Coming Soon",IF($E10="hide","Never visible in end-user catalog",IF($E10="debug","QA/local only; hidden in production catalog","")))))</x:f>
        <x:v>UNKNOWN/OPTED_IN only; hide on OPTED_OUT</x:v>
      </x:c>
      <x:c r="AI10" s="6" t="str">
        <x:v>raw-fixtures.ts</x:v>
      </x:c>
    </x:row>
    <x:row r="11" ht="85.44921875" hidden="0" customHeight="1">
      <x:c r="A11" s="6" t="str">
        <x:v>blog-release-gate</x:v>
      </x:c>
      <x:c r="B11" s="6" t="str">
        <x:v>blog</x:v>
      </x:c>
      <x:c r="C11" s="6" t="str"/>
      <x:c r="D11" s="6" t="str">
        <x:v>release-gate</x:v>
      </x:c>
      <x:c r="E11" s="6" t="str">
        <x:v>available</x:v>
      </x:c>
      <x:c r="F11" s="6" t="str"/>
      <x:c r="G11" s="6" t="str">
        <x:v>TRUE</x:v>
      </x:c>
      <x:c r="H11" s="6" t="str">
        <x:v>FALSE</x:v>
      </x:c>
      <x:c r="I11" s="6" t="str">
        <x:v>icon-blog-release-gate</x:v>
      </x:c>
      <x:c r="J11" s="6" t="str">
        <x:v>Designing a Reliable Release Gate</x:v>
      </x:c>
      <x:c r="K11" s="6" t="str">
        <x:v>신뢰할 수 있는 릴리스 게이트 설계</x:v>
      </x:c>
      <x:c r="L11" s="6" t="str">
        <x:v>How to turn quality assumptions into blocking assertions.</x:v>
      </x:c>
      <x:c r="M11" s="6" t="str">
        <x:v>품질 가정을 실제 차단 규칙으로 바꾸는 방법을 설명합니다.</x:v>
      </x:c>
      <x:c r="N11" s="6" t="str">
        <x:v>qa | gate</x:v>
      </x:c>
      <x:c r="O11" s="6" t="str">
        <x:v>QA | 게이트</x:v>
      </x:c>
      <x:c r="P11" s="6" t="str"/>
      <x:c r="Q11" s="6" t="str"/>
      <x:c r="R11" s="6" t="str"/>
      <x:c r="S11" s="6" t="str"/>
      <x:c r="T11" s="6" t="str"/>
      <x:c r="U11" s="6" t="str"/>
      <x:c r="V11" s="6" t="str"/>
      <x:c r="W11" s="6" t="str"/>
      <x:c r="X11" s="16" t="str"/>
      <x:c r="Y11" s="16" t="str"/>
      <x:c r="Z11" s="16" t="str"/>
      <x:c r="AA11" s="6" t="str">
        <x:v>A practical implementation strategy for layering static checks, deterministic state assertions, and e2e smoke contracts into one release boundary.</x:v>
      </x:c>
      <x:c r="AB11" s="6" t="str">
        <x:v>정적 검사, 결정적 상태 단언, e2e 스모크 계약을 하나의 릴리스 경계 안에 겹겹이 쌓아 넣는 실용적인 구현 전략입니다.</x:v>
      </x:c>
      <x:c r="AC11" s="16" t="n">
        <x:v>5</x:v>
      </x:c>
      <x:c r="AD11" s="16" t="n">
        <x:v>890</x:v>
      </x:c>
      <x:c r="AE11" s="16" t="n">
        <x:v>17943</x:v>
      </x:c>
      <x:c r="AF11" s="6" t="b">
        <x:f>IF(OR($E11="hide",$E11="debug"),FALSE,TRUE)</x:f>
        <x:v>1</x:v>
      </x:c>
      <x:c r="AG11" s="6" t="b">
        <x:f>IF(OR($E11="available",$E11="opt_out"),TRUE,FALSE)</x:f>
        <x:v>1</x:v>
      </x:c>
      <x:c r="AH11" s="6" t="str">
        <x:f>IF($E11="available","UNKNOWN/OPTED_IN only; hide on OPTED_OUT",IF($E11="opt_out","Always visible; always enterable",IF($E11="unavailable","Always visible; non-enterable; Coming Soon",IF($E11="hide","Never visible in end-user catalog",IF($E11="debug","QA/local only; hidden in production catalog","")))))</x:f>
        <x:v>UNKNOWN/OPTED_IN only; hide on OPTED_OUT</x:v>
      </x:c>
      <x:c r="AI11" s="6" t="str">
        <x:v>raw-fixtures.ts</x:v>
      </x:c>
    </x:row>
  </x:sheetData>
  <x:conditionalFormatting sqref="E2:E11">
    <x:cfRule type="expression" dxfId="0" priority="1">
      <x:formula>$E2="unavailable"</x:formula>
    </x:cfRule>
    <x:cfRule type="expression" dxfId="1" priority="2">
      <x:formula>$E2="opt_out"</x:formula>
    </x:cfRule>
    <x:cfRule type="expression" dxfId="2" priority="3">
      <x:formula>OR($E2="hide",$E2="debug")</x:formula>
    </x:cfRule>
  </x:conditionalFormatting>
  <x:conditionalFormatting sqref="AF2:AF11">
    <x:cfRule type="expression" dxfId="3" priority="4">
      <x:formula>$AF2=FALSE</x:formula>
    </x:cfRule>
  </x:conditionalFormatting>
  <x:conditionalFormatting sqref="AG2:AG11">
    <x:cfRule type="expression" dxfId="4" priority="5">
      <x:formula>$AG2=TRUE</x:formula>
    </x:cfRule>
  </x:conditionalFormatting>
  <x:dataValidations count="2">
    <x:dataValidation type="list" sqref="B2:B11">
      <x:formula1>Enums!$B$2:$B$3</x:formula1>
    </x:dataValidation>
    <x:dataValidation type="list" sqref="E2:E11">
      <x:formula1>Enums!$A$2:$A$6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ac8f4e1d931463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3.43000030517578" hidden="0" customWidth="1"/>
    <x:col min="2" max="2" width="121.70999908447266" hidden="0" customWidth="1"/>
  </x:cols>
  <x:sheetData>
    <x:row r="1">
      <x:c r="A1" s="4" t="str">
        <x:v>Landing Card Metadata sample</x:v>
      </x:c>
      <x:c r="B1"/>
    </x:row>
    <x:row r="2">
      <x:c r="A2" s="8" t="str">
        <x:v>Purpose</x:v>
      </x:c>
      <x:c r="B2" s="6" t="str">
        <x:v>Fixture-derived flat sample sheet for landing/blog card metadata.</x:v>
      </x:c>
    </x:row>
    <x:row r="3">
      <x:c r="A3" s="8" t="str">
        <x:v>Source file</x:v>
      </x:c>
      <x:c r="B3" s="6" t="str">
        <x:v>/mnt/data/raw-fixtures.ts</x:v>
      </x:c>
    </x:row>
    <x:row r="4">
      <x:c r="A4" s="8" t="str">
        <x:v>Generation date</x:v>
      </x:c>
      <x:c r="B4" s="6" t="str">
        <x:v>2026-04-01</x:v>
      </x:c>
    </x:row>
    <x:row r="5">
      <x:c r="A5" s="8" t="str">
        <x:v>Recommended primary keys</x:v>
      </x:c>
      <x:c r="B5" s="6" t="str">
        <x:v>recordId (all rows), variantId (test rows only), articleId (blog rows only)</x:v>
      </x:c>
    </x:row>
    <x:row r="6">
      <x:c r="A6" s="8" t="str">
        <x:v>Design note</x:v>
      </x:c>
      <x:c r="B6" s="6" t="str">
        <x:v>This sheet includes current fixture fields, including test/blog-specific optional columns, to make migration visible.</x:v>
      </x:c>
    </x:row>
    <x:row r="7">
      <x:c r="A7" s="8" t="str">
        <x:v>Validation note</x:v>
      </x:c>
      <x:c r="B7" s="6" t="str">
        <x:v>catalogVisible_expected and enterable_expected are formula-derived from cardType.</x:v>
      </x:c>
    </x:row>
    <x:row r="8">
      <x:c r="A8" s="8" t="str">
        <x:v>Blog-row note</x:v>
      </x:c>
      <x:c r="B8" s="6" t="str">
        <x:v>For blog rows, variantId is blank and articleId is populated.</x:v>
      </x:c>
    </x:row>
    <x:row r="9">
      <x:c r="A9" s="8" t="str">
        <x:v>Test-row note</x:v>
      </x:c>
      <x:c r="B9" s="6" t="str">
        <x:v>For test rows, variantId is populated and articleId is blank.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.289999961853027" hidden="0" customWidth="1"/>
    <x:col min="2" max="2" width="13.430000305175781" hidden="0" customWidth="1"/>
  </x:cols>
  <x:sheetData>
    <x:row r="1">
      <x:c r="A1" s="11" t="str">
        <x:v>cardType</x:v>
      </x:c>
      <x:c r="B1" s="11" t="str">
        <x:v>contentType</x:v>
      </x:c>
    </x:row>
    <x:row r="2">
      <x:c r="A2" t="str">
        <x:v>available</x:v>
      </x:c>
      <x:c r="B2" t="str">
        <x:v>test</x:v>
      </x:c>
    </x:row>
    <x:row r="3">
      <x:c r="A3" t="str">
        <x:v>unavailable</x:v>
      </x:c>
      <x:c r="B3" t="str">
        <x:v>blog</x:v>
      </x:c>
    </x:row>
    <x:row r="4">
      <x:c r="A4" t="str">
        <x:v>hide</x:v>
      </x:c>
      <x:c r="B4" t="str"/>
    </x:row>
    <x:row r="5">
      <x:c r="A5" t="str">
        <x:v>opt_out</x:v>
      </x:c>
      <x:c r="B5" t="str"/>
    </x:row>
    <x:row r="6">
      <x:c r="A6" t="str">
        <x:v>debug</x:v>
      </x:c>
      <x:c r="B6" t="str"/>
    </x:row>
  </x:sheetData>
  <x:pageMargins left="0.7" right="0.7" top="0.75" bottom="0.75" header="0.3" footer="0.3"/>
</x:worksheet>
</file>